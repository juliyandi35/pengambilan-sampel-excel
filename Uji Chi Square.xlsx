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Selesai\Pengambilan sampel DL Secepatnya\"/>
    </mc:Choice>
  </mc:AlternateContent>
  <xr:revisionPtr revIDLastSave="0" documentId="13_ncr:1_{F20E7210-B4D8-4BE4-9BF6-68EE4BD0578E}" xr6:coauthVersionLast="47" xr6:coauthVersionMax="47" xr10:uidLastSave="{00000000-0000-0000-0000-000000000000}"/>
  <bookViews>
    <workbookView xWindow="-90" yWindow="0" windowWidth="9780" windowHeight="10170" activeTab="1" xr2:uid="{A8DD2243-3DF9-44E3-B779-E26EDDCAD5B5}"/>
  </bookViews>
  <sheets>
    <sheet name="Sheet1" sheetId="1" r:id="rId1"/>
    <sheet name="Samp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2" l="1"/>
  <c r="B10" i="2"/>
  <c r="B9" i="2"/>
  <c r="B8" i="2"/>
  <c r="B7" i="2"/>
  <c r="B6" i="2"/>
  <c r="E4" i="2"/>
  <c r="E3" i="2"/>
  <c r="B4" i="2" l="1"/>
  <c r="B5" i="2" s="1"/>
  <c r="C14" i="1"/>
  <c r="C13" i="1"/>
  <c r="C10" i="1"/>
  <c r="C12" i="1"/>
  <c r="K7" i="1"/>
  <c r="K6" i="1"/>
  <c r="J7" i="1"/>
  <c r="J8" i="1" s="1"/>
  <c r="J6" i="1"/>
  <c r="I6" i="1"/>
  <c r="I7" i="1"/>
  <c r="L6" i="1"/>
  <c r="K8" i="1"/>
  <c r="E7" i="1"/>
  <c r="D7" i="1"/>
  <c r="C7" i="1"/>
  <c r="E6" i="1"/>
  <c r="D6" i="1"/>
  <c r="D8" i="1" s="1"/>
  <c r="E8" i="1"/>
  <c r="C6" i="1"/>
  <c r="C8" i="1" s="1"/>
  <c r="F7" i="1"/>
  <c r="L7" i="1" l="1"/>
  <c r="I8" i="1"/>
  <c r="L8" i="1" s="1"/>
  <c r="F6" i="1"/>
  <c r="F8" i="1"/>
</calcChain>
</file>

<file path=xl/sharedStrings.xml><?xml version="1.0" encoding="utf-8"?>
<sst xmlns="http://schemas.openxmlformats.org/spreadsheetml/2006/main" count="51" uniqueCount="41">
  <si>
    <t>Pendidikan Ibu Hamil</t>
  </si>
  <si>
    <t>Rendah</t>
  </si>
  <si>
    <t>&gt;9 tahun</t>
  </si>
  <si>
    <t>Observasi</t>
  </si>
  <si>
    <t>Nuryani</t>
  </si>
  <si>
    <t>Langelo</t>
  </si>
  <si>
    <t>Total</t>
  </si>
  <si>
    <t>Expected</t>
  </si>
  <si>
    <t>Nilai Chi Square</t>
  </si>
  <si>
    <t>Probabilitas</t>
  </si>
  <si>
    <t>Chi Hitung</t>
  </si>
  <si>
    <t>Chi Tabel</t>
  </si>
  <si>
    <t>Derajat Kebebasan</t>
  </si>
  <si>
    <t>Analisis Hasil</t>
  </si>
  <si>
    <t>H0</t>
  </si>
  <si>
    <t>H1</t>
  </si>
  <si>
    <t>Penelitian tidak bergantung pada lama pendidikan</t>
  </si>
  <si>
    <t>Penelitian bergantung pada lama pendidikan</t>
  </si>
  <si>
    <t>Kaidah Keputusan:</t>
  </si>
  <si>
    <t>Gunakan perbandingan ntara Chi hitung dan Chi tabel</t>
  </si>
  <si>
    <t>Jika Chi hitung &gt; Chi tabel, maka H0 ditolak</t>
  </si>
  <si>
    <t>Jika Chi hitung &lt; Chi tabel, maka H0 diterima</t>
  </si>
  <si>
    <t>Keputusan:</t>
  </si>
  <si>
    <t>Jika H0 ditolak maka terdapat ketergantungan pada lama pendidikan</t>
  </si>
  <si>
    <t>Jika H0 diterima maka tidak terdapat ketergantungan pada lama pendidikan</t>
  </si>
  <si>
    <t>Jika H0 ditolak, maka harus dilakukan diferensiasi penelitian dalam lamanya pendidikan</t>
  </si>
  <si>
    <t>Jika H0 diterima maka tidak ada pengaruhnya.</t>
  </si>
  <si>
    <t>Variabel yang dibutuhkan</t>
  </si>
  <si>
    <t>Za (a=0,05)</t>
  </si>
  <si>
    <t>Zb (power 80%)</t>
  </si>
  <si>
    <t>Q</t>
  </si>
  <si>
    <t>P2</t>
  </si>
  <si>
    <t>Q2</t>
  </si>
  <si>
    <t>P1</t>
  </si>
  <si>
    <t>Q1</t>
  </si>
  <si>
    <t>P1-P2</t>
  </si>
  <si>
    <t>Kelompok</t>
  </si>
  <si>
    <t>Kontrol</t>
  </si>
  <si>
    <t xml:space="preserve">Populasi </t>
  </si>
  <si>
    <t>P total</t>
  </si>
  <si>
    <t>n1=n2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</si>
</sst>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5DF30-80B1-4153-8DE4-9D2D57DA316B}">
  <dimension ref="B3:L31"/>
  <sheetViews>
    <sheetView workbookViewId="0">
      <selection activeCell="C6" sqref="C6"/>
    </sheetView>
  </sheetViews>
  <sheetFormatPr defaultRowHeight="14.5" x14ac:dyDescent="0.35"/>
  <cols>
    <col min="2" max="2" width="10.7265625" customWidth="1"/>
  </cols>
  <sheetData>
    <row r="3" spans="2:12" x14ac:dyDescent="0.35">
      <c r="B3" t="s">
        <v>3</v>
      </c>
      <c r="H3" t="s">
        <v>7</v>
      </c>
    </row>
    <row r="4" spans="2:12" x14ac:dyDescent="0.35">
      <c r="B4" t="s">
        <v>0</v>
      </c>
      <c r="H4" t="s">
        <v>0</v>
      </c>
    </row>
    <row r="5" spans="2:12" x14ac:dyDescent="0.35">
      <c r="C5" t="s">
        <v>3</v>
      </c>
      <c r="D5" t="s">
        <v>4</v>
      </c>
      <c r="E5" t="s">
        <v>5</v>
      </c>
      <c r="F5" t="s">
        <v>6</v>
      </c>
      <c r="I5" t="s">
        <v>3</v>
      </c>
      <c r="J5" t="s">
        <v>4</v>
      </c>
      <c r="K5" t="s">
        <v>5</v>
      </c>
      <c r="L5" t="s">
        <v>6</v>
      </c>
    </row>
    <row r="6" spans="2:12" x14ac:dyDescent="0.35">
      <c r="B6" t="s">
        <v>1</v>
      </c>
      <c r="C6">
        <f>0.525*100</f>
        <v>52.5</v>
      </c>
      <c r="D6">
        <f>63.1</f>
        <v>63.1</v>
      </c>
      <c r="E6">
        <f>0.39*100</f>
        <v>39</v>
      </c>
      <c r="F6">
        <f>SUM(C6:E6)</f>
        <v>154.6</v>
      </c>
      <c r="H6" t="s">
        <v>1</v>
      </c>
      <c r="I6">
        <f>F6*$C$8/$F$8</f>
        <v>53.591944536150535</v>
      </c>
      <c r="J6">
        <f>F6*$D$8/$F$8</f>
        <v>60.839617035325197</v>
      </c>
      <c r="K6">
        <f>F6*$E$8/$F$8</f>
        <v>40.168438428524261</v>
      </c>
      <c r="L6">
        <f>SUM(I6:K6)</f>
        <v>154.6</v>
      </c>
    </row>
    <row r="7" spans="2:12" x14ac:dyDescent="0.35">
      <c r="B7" t="s">
        <v>2</v>
      </c>
      <c r="C7">
        <f>0.525*100</f>
        <v>52.5</v>
      </c>
      <c r="D7">
        <f>0.561*100</f>
        <v>56.100000000000009</v>
      </c>
      <c r="E7">
        <f>0.397*100</f>
        <v>39.700000000000003</v>
      </c>
      <c r="F7">
        <f t="shared" ref="F7:F8" si="0">SUM(C7:E7)</f>
        <v>148.30000000000001</v>
      </c>
      <c r="H7" t="s">
        <v>2</v>
      </c>
      <c r="I7">
        <f>F7*$C$8/$F$8</f>
        <v>51.408055463849458</v>
      </c>
      <c r="J7">
        <f>F7*$D$8/$F$8</f>
        <v>58.36038296467482</v>
      </c>
      <c r="K7">
        <f>F7*$E$8/$F$8</f>
        <v>38.531561571475734</v>
      </c>
      <c r="L7">
        <f t="shared" ref="L7:L8" si="1">SUM(I7:K7)</f>
        <v>148.30000000000001</v>
      </c>
    </row>
    <row r="8" spans="2:12" x14ac:dyDescent="0.35">
      <c r="B8" t="s">
        <v>6</v>
      </c>
      <c r="C8">
        <f>SUM(C6:C7)</f>
        <v>105</v>
      </c>
      <c r="D8">
        <f t="shared" ref="D8:E8" si="2">SUM(D6:D7)</f>
        <v>119.20000000000002</v>
      </c>
      <c r="E8">
        <f t="shared" si="2"/>
        <v>78.7</v>
      </c>
      <c r="F8">
        <f t="shared" si="0"/>
        <v>302.90000000000003</v>
      </c>
      <c r="H8" t="s">
        <v>6</v>
      </c>
      <c r="I8">
        <f>SUM(I6:I7)</f>
        <v>105</v>
      </c>
      <c r="J8">
        <f t="shared" ref="J8" si="3">SUM(J6:J7)</f>
        <v>119.20000000000002</v>
      </c>
      <c r="K8">
        <f t="shared" ref="K8" si="4">SUM(K6:K7)</f>
        <v>78.699999999999989</v>
      </c>
      <c r="L8">
        <f t="shared" si="1"/>
        <v>302.89999999999998</v>
      </c>
    </row>
    <row r="9" spans="2:12" x14ac:dyDescent="0.35">
      <c r="C9" s="1"/>
    </row>
    <row r="10" spans="2:12" x14ac:dyDescent="0.35">
      <c r="B10" t="s">
        <v>12</v>
      </c>
      <c r="C10">
        <f>(2-1)*(3-1)</f>
        <v>2</v>
      </c>
    </row>
    <row r="11" spans="2:12" x14ac:dyDescent="0.35">
      <c r="B11" t="s">
        <v>8</v>
      </c>
    </row>
    <row r="12" spans="2:12" x14ac:dyDescent="0.35">
      <c r="B12" t="s">
        <v>9</v>
      </c>
      <c r="C12">
        <f>CHITEST(C6:E7,I6:K7)</f>
        <v>0.86658483091391947</v>
      </c>
    </row>
    <row r="13" spans="2:12" x14ac:dyDescent="0.35">
      <c r="B13" t="s">
        <v>10</v>
      </c>
      <c r="C13">
        <f>CHIINV(C12,C10)</f>
        <v>0.28639054793526159</v>
      </c>
    </row>
    <row r="14" spans="2:12" x14ac:dyDescent="0.35">
      <c r="B14" t="s">
        <v>11</v>
      </c>
      <c r="C14">
        <f>CHIINV(0.05,C10)</f>
        <v>5.9914645471079817</v>
      </c>
    </row>
    <row r="17" spans="2:10" x14ac:dyDescent="0.35">
      <c r="B17" s="2" t="s">
        <v>13</v>
      </c>
      <c r="C17" s="2"/>
      <c r="D17" s="2"/>
      <c r="E17" s="2"/>
      <c r="F17" s="2"/>
      <c r="G17" s="2"/>
      <c r="H17" s="2"/>
      <c r="I17" s="2"/>
      <c r="J17" s="2"/>
    </row>
    <row r="18" spans="2:10" x14ac:dyDescent="0.35">
      <c r="B18" s="2" t="s">
        <v>14</v>
      </c>
      <c r="C18" s="2" t="s">
        <v>16</v>
      </c>
      <c r="D18" s="2"/>
      <c r="E18" s="2"/>
      <c r="F18" s="2"/>
      <c r="G18" s="2"/>
      <c r="H18" s="2"/>
      <c r="I18" s="2"/>
      <c r="J18" s="2"/>
    </row>
    <row r="19" spans="2:10" x14ac:dyDescent="0.35">
      <c r="B19" s="2" t="s">
        <v>15</v>
      </c>
      <c r="C19" s="2" t="s">
        <v>17</v>
      </c>
      <c r="D19" s="2"/>
      <c r="E19" s="2"/>
      <c r="F19" s="2"/>
      <c r="G19" s="2"/>
      <c r="H19" s="2"/>
      <c r="I19" s="2"/>
      <c r="J19" s="2"/>
    </row>
    <row r="20" spans="2:10" x14ac:dyDescent="0.35">
      <c r="B20" s="2"/>
      <c r="C20" s="2"/>
      <c r="D20" s="2"/>
      <c r="E20" s="2"/>
      <c r="F20" s="2"/>
      <c r="G20" s="2"/>
      <c r="H20" s="2"/>
      <c r="I20" s="2"/>
      <c r="J20" s="2"/>
    </row>
    <row r="21" spans="2:10" x14ac:dyDescent="0.35">
      <c r="B21" s="2" t="s">
        <v>18</v>
      </c>
      <c r="C21" s="2"/>
      <c r="D21" s="2"/>
      <c r="E21" s="2"/>
      <c r="F21" s="2"/>
      <c r="G21" s="2"/>
      <c r="H21" s="2"/>
      <c r="I21" s="2"/>
      <c r="J21" s="2"/>
    </row>
    <row r="22" spans="2:10" x14ac:dyDescent="0.35">
      <c r="B22" s="2" t="s">
        <v>19</v>
      </c>
      <c r="C22" s="2"/>
      <c r="D22" s="2"/>
      <c r="E22" s="2"/>
      <c r="F22" s="2"/>
      <c r="G22" s="2"/>
      <c r="H22" s="2"/>
      <c r="I22" s="2"/>
      <c r="J22" s="2"/>
    </row>
    <row r="23" spans="2:10" x14ac:dyDescent="0.35">
      <c r="B23" s="2" t="s">
        <v>20</v>
      </c>
      <c r="C23" s="2"/>
      <c r="D23" s="2"/>
      <c r="E23" s="2"/>
      <c r="F23" s="2"/>
      <c r="G23" s="2"/>
      <c r="H23" s="2"/>
      <c r="I23" s="2"/>
      <c r="J23" s="2"/>
    </row>
    <row r="24" spans="2:10" x14ac:dyDescent="0.35">
      <c r="B24" s="2" t="s">
        <v>21</v>
      </c>
      <c r="C24" s="2"/>
      <c r="D24" s="2"/>
      <c r="E24" s="2"/>
      <c r="F24" s="2"/>
      <c r="G24" s="2"/>
      <c r="H24" s="2"/>
      <c r="I24" s="2"/>
      <c r="J24" s="2"/>
    </row>
    <row r="25" spans="2:10" x14ac:dyDescent="0.35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35">
      <c r="B26" s="2" t="s">
        <v>22</v>
      </c>
      <c r="C26" s="2"/>
      <c r="D26" s="2"/>
      <c r="E26" s="2"/>
      <c r="F26" s="2"/>
      <c r="G26" s="2"/>
      <c r="H26" s="2"/>
      <c r="I26" s="2"/>
      <c r="J26" s="2"/>
    </row>
    <row r="27" spans="2:10" x14ac:dyDescent="0.35">
      <c r="B27" s="2" t="s">
        <v>23</v>
      </c>
      <c r="C27" s="2"/>
      <c r="D27" s="2"/>
      <c r="E27" s="2"/>
      <c r="F27" s="2"/>
      <c r="G27" s="2"/>
      <c r="H27" s="2"/>
      <c r="I27" s="2"/>
      <c r="J27" s="2"/>
    </row>
    <row r="28" spans="2:10" x14ac:dyDescent="0.35">
      <c r="B28" s="2" t="s">
        <v>24</v>
      </c>
      <c r="C28" s="2"/>
      <c r="D28" s="2"/>
      <c r="E28" s="2"/>
      <c r="F28" s="2"/>
      <c r="G28" s="2"/>
      <c r="H28" s="2"/>
      <c r="I28" s="2"/>
      <c r="J28" s="2"/>
    </row>
    <row r="29" spans="2:10" x14ac:dyDescent="0.35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35">
      <c r="B30" s="2" t="s">
        <v>25</v>
      </c>
      <c r="C30" s="2"/>
      <c r="D30" s="2"/>
      <c r="E30" s="2"/>
      <c r="F30" s="2"/>
      <c r="G30" s="2"/>
      <c r="H30" s="2"/>
      <c r="I30" s="2"/>
      <c r="J30" s="2"/>
    </row>
    <row r="31" spans="2:10" x14ac:dyDescent="0.35">
      <c r="B31" s="2" t="s">
        <v>26</v>
      </c>
      <c r="C31" s="2"/>
      <c r="D31" s="2"/>
      <c r="E31" s="2"/>
      <c r="F31" s="2"/>
      <c r="G31" s="2"/>
      <c r="H31" s="2"/>
      <c r="I31" s="2"/>
      <c r="J3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48A6F-C12A-44C1-AC9A-DD16715CC51B}">
  <dimension ref="A1:E11"/>
  <sheetViews>
    <sheetView tabSelected="1" workbookViewId="0">
      <selection activeCell="B11" sqref="B11"/>
    </sheetView>
  </sheetViews>
  <sheetFormatPr defaultRowHeight="14.5" x14ac:dyDescent="0.35"/>
  <cols>
    <col min="1" max="1" width="15.26953125" customWidth="1"/>
  </cols>
  <sheetData>
    <row r="1" spans="1:5" x14ac:dyDescent="0.35">
      <c r="A1" t="s">
        <v>27</v>
      </c>
    </row>
    <row r="2" spans="1:5" x14ac:dyDescent="0.35">
      <c r="A2" t="s">
        <v>28</v>
      </c>
      <c r="B2">
        <v>1.96</v>
      </c>
    </row>
    <row r="3" spans="1:5" x14ac:dyDescent="0.35">
      <c r="A3" t="s">
        <v>29</v>
      </c>
      <c r="B3">
        <v>0.84</v>
      </c>
      <c r="D3" t="s">
        <v>36</v>
      </c>
      <c r="E3">
        <f>63.1/100</f>
        <v>0.63100000000000001</v>
      </c>
    </row>
    <row r="4" spans="1:5" x14ac:dyDescent="0.35">
      <c r="A4" t="s">
        <v>39</v>
      </c>
      <c r="B4">
        <f>(E3+E4)/2</f>
        <v>0.59600000000000009</v>
      </c>
      <c r="D4" t="s">
        <v>37</v>
      </c>
      <c r="E4">
        <f>56.1/100</f>
        <v>0.56100000000000005</v>
      </c>
    </row>
    <row r="5" spans="1:5" x14ac:dyDescent="0.35">
      <c r="A5" t="s">
        <v>30</v>
      </c>
      <c r="B5">
        <f>1-B4</f>
        <v>0.40399999999999991</v>
      </c>
      <c r="D5" t="s">
        <v>38</v>
      </c>
      <c r="E5">
        <v>256</v>
      </c>
    </row>
    <row r="6" spans="1:5" x14ac:dyDescent="0.35">
      <c r="A6" t="s">
        <v>31</v>
      </c>
      <c r="B6">
        <f>E3-0.3</f>
        <v>0.33100000000000002</v>
      </c>
    </row>
    <row r="7" spans="1:5" x14ac:dyDescent="0.35">
      <c r="A7" t="s">
        <v>32</v>
      </c>
      <c r="B7">
        <f>1-B6</f>
        <v>0.66900000000000004</v>
      </c>
    </row>
    <row r="8" spans="1:5" x14ac:dyDescent="0.35">
      <c r="A8" t="s">
        <v>33</v>
      </c>
      <c r="B8">
        <f>E3</f>
        <v>0.63100000000000001</v>
      </c>
    </row>
    <row r="9" spans="1:5" x14ac:dyDescent="0.35">
      <c r="A9" t="s">
        <v>34</v>
      </c>
      <c r="B9">
        <f>1-B8</f>
        <v>0.36899999999999999</v>
      </c>
    </row>
    <row r="10" spans="1:5" x14ac:dyDescent="0.35">
      <c r="A10" t="s">
        <v>35</v>
      </c>
      <c r="B10">
        <f>B8-B6</f>
        <v>0.3</v>
      </c>
    </row>
    <row r="11" spans="1:5" x14ac:dyDescent="0.35">
      <c r="A11" t="s">
        <v>40</v>
      </c>
      <c r="B11" s="3">
        <f>((B2*SQRT(2*B4*B5)+B3*SQRT(B8*B9+B6*B7))/(B8-B6))^2</f>
        <v>41.229464444474999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Sampel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2023-03-29T03:35:32Z</dcterms:created>
  <dcterms:modified xsi:type="dcterms:W3CDTF">2023-03-29T05:21:43Z</dcterms:modified>
</cp:coreProperties>
</file>